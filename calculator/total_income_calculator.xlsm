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nicholashyder/Desktop/Capstone Project/Calculators/Final Calcs/"/>
    </mc:Choice>
  </mc:AlternateContent>
  <bookViews>
    <workbookView xWindow="0" yWindow="460" windowWidth="25600" windowHeight="15460" tabRatio="500"/>
  </bookViews>
  <sheets>
    <sheet name="Calculator" sheetId="2" r:id="rId1"/>
    <sheet name="Sheet1" sheetId="3" r:id="rId2"/>
  </sheets>
  <definedNames>
    <definedName name="_xlnm._FilterDatabase" localSheetId="0" hidden="1">Calculator!$E$1:$J$17</definedName>
    <definedName name="data">#REF!</definedName>
    <definedName name="EITC">#REF!</definedName>
    <definedName name="SNAP">#REF!</definedName>
    <definedName name="SNAPDATA">#REF!</definedName>
  </definedName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1" i="2" l="1"/>
  <c r="J20" i="2"/>
  <c r="J19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I16" i="2"/>
  <c r="I17" i="2"/>
  <c r="I19" i="2"/>
  <c r="I21" i="2"/>
  <c r="I20" i="2"/>
  <c r="G21" i="2"/>
  <c r="G20" i="2"/>
  <c r="G19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F16" i="2"/>
  <c r="F17" i="2"/>
  <c r="F19" i="2"/>
  <c r="F21" i="2"/>
  <c r="F20" i="2"/>
  <c r="C16" i="2"/>
  <c r="C15" i="2"/>
  <c r="C13" i="2"/>
  <c r="C12" i="2"/>
  <c r="C9" i="2"/>
  <c r="I50" i="2"/>
  <c r="H50" i="2"/>
  <c r="C68" i="2"/>
  <c r="C67" i="2"/>
  <c r="C66" i="2"/>
  <c r="C65" i="2"/>
  <c r="E50" i="2"/>
  <c r="D50" i="2"/>
  <c r="C50" i="2"/>
  <c r="B68" i="2"/>
  <c r="B67" i="2"/>
  <c r="B66" i="2"/>
  <c r="B65" i="2"/>
  <c r="E49" i="2"/>
  <c r="G55" i="2"/>
  <c r="E54" i="2"/>
</calcChain>
</file>

<file path=xl/sharedStrings.xml><?xml version="1.0" encoding="utf-8"?>
<sst xmlns="http://schemas.openxmlformats.org/spreadsheetml/2006/main" count="69" uniqueCount="49">
  <si>
    <t>Single</t>
  </si>
  <si>
    <t>Married</t>
  </si>
  <si>
    <t>1. What is your marital status?</t>
  </si>
  <si>
    <t>Monthy Family Earned Income:</t>
  </si>
  <si>
    <t>Monthly Family Gross Income:</t>
  </si>
  <si>
    <t>EITC:</t>
  </si>
  <si>
    <t>LIHEAP:</t>
  </si>
  <si>
    <t>TANF:</t>
  </si>
  <si>
    <t>WIC:</t>
  </si>
  <si>
    <t>2. How many children are under age 1?</t>
  </si>
  <si>
    <t>Number of family members:</t>
  </si>
  <si>
    <t>SLP:</t>
  </si>
  <si>
    <t>SBP:</t>
  </si>
  <si>
    <t>3. How many children are age 1 - 2?</t>
  </si>
  <si>
    <t>SSI:</t>
  </si>
  <si>
    <t>SNAP:</t>
  </si>
  <si>
    <t>Total Resources:</t>
  </si>
  <si>
    <t>Yes</t>
  </si>
  <si>
    <t>No</t>
  </si>
  <si>
    <t>Florida Lifeline:</t>
  </si>
  <si>
    <t>Head Start:</t>
  </si>
  <si>
    <t>Monthly Resources</t>
  </si>
  <si>
    <t>Annual Resources</t>
  </si>
  <si>
    <t>Federal Taxes:</t>
  </si>
  <si>
    <t>Payroll Taxes:</t>
  </si>
  <si>
    <t>NET INCOME:</t>
  </si>
  <si>
    <t>Gross Income:</t>
  </si>
  <si>
    <t>Net Income:</t>
  </si>
  <si>
    <t>Total Benefits:</t>
  </si>
  <si>
    <t>School Readiness:</t>
  </si>
  <si>
    <t>4. How many children are age 3?</t>
  </si>
  <si>
    <t>5. How many children are age 4?</t>
  </si>
  <si>
    <t>6. How many children are age 5?</t>
  </si>
  <si>
    <t>7. How many children are age 6 - 13?</t>
  </si>
  <si>
    <t>8. How many children are age 14 - 18?</t>
  </si>
  <si>
    <t>9. What is your hourly wage?</t>
  </si>
  <si>
    <t>10. How many hours do you work in a week?</t>
  </si>
  <si>
    <t>11. What is your spouse's hourly wage rate?</t>
  </si>
  <si>
    <t>12. How many hours does your spouse work in a week?</t>
  </si>
  <si>
    <t>14. What is your family's assets?</t>
  </si>
  <si>
    <t>15. What is your monthly rent obligation?</t>
  </si>
  <si>
    <t>13. What is the total monthly family income other than earned income?</t>
  </si>
  <si>
    <r>
      <t xml:space="preserve">16. </t>
    </r>
    <r>
      <rPr>
        <sz val="12"/>
        <color theme="1"/>
        <rFont val="Calibri"/>
        <family val="2"/>
        <scheme val="minor"/>
      </rPr>
      <t>Is anyone in the family blind or disabled?</t>
    </r>
  </si>
  <si>
    <t>Income</t>
  </si>
  <si>
    <t>Benefits</t>
  </si>
  <si>
    <t>Children Ages 14, 16, and 18</t>
  </si>
  <si>
    <t>Children Ages 2 and 3</t>
  </si>
  <si>
    <t>Single Invidual</t>
  </si>
  <si>
    <t>Healthcare: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</si>
</sst>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i/>
      <sz val="12"/>
      <color theme="1"/>
      <name val="Calibri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i/>
      <sz val="1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3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6">
    <xf numFmtId="0" fontId="0" fillId="0" borderId="0" xfId="0"/>
    <xf numFmtId="0" fontId="3" fillId="0" borderId="0" xfId="0" applyFont="1"/>
    <xf numFmtId="164" fontId="0" fillId="0" borderId="0" xfId="0" applyNumberFormat="1"/>
    <xf numFmtId="0" fontId="0" fillId="2" borderId="0" xfId="0" applyFill="1" applyBorder="1"/>
    <xf numFmtId="0" fontId="5" fillId="2" borderId="0" xfId="0" applyFont="1" applyFill="1" applyAlignment="1">
      <alignment horizontal="center" wrapText="1"/>
    </xf>
    <xf numFmtId="0" fontId="1" fillId="2" borderId="0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left"/>
    </xf>
    <xf numFmtId="0" fontId="4" fillId="2" borderId="0" xfId="0" applyFont="1" applyFill="1" applyBorder="1"/>
    <xf numFmtId="164" fontId="0" fillId="2" borderId="0" xfId="0" applyNumberForma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 applyBorder="1" applyAlignment="1">
      <alignment horizontal="center" wrapText="1"/>
    </xf>
    <xf numFmtId="0" fontId="0" fillId="2" borderId="0" xfId="0" applyNumberFormat="1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0" fillId="2" borderId="0" xfId="0" applyFill="1"/>
    <xf numFmtId="0" fontId="1" fillId="5" borderId="0" xfId="0" applyFont="1" applyFill="1" applyBorder="1" applyAlignment="1">
      <alignment horizontal="right"/>
    </xf>
    <xf numFmtId="164" fontId="0" fillId="5" borderId="0" xfId="0" applyNumberFormat="1" applyFill="1" applyBorder="1" applyAlignment="1">
      <alignment horizontal="left"/>
    </xf>
    <xf numFmtId="0" fontId="0" fillId="5" borderId="0" xfId="0" applyFill="1"/>
    <xf numFmtId="0" fontId="5" fillId="5" borderId="0" xfId="0" applyFont="1" applyFill="1" applyAlignment="1">
      <alignment horizontal="center" wrapText="1"/>
    </xf>
    <xf numFmtId="0" fontId="5" fillId="5" borderId="0" xfId="0" applyFont="1" applyFill="1" applyAlignment="1">
      <alignment wrapText="1"/>
    </xf>
    <xf numFmtId="164" fontId="0" fillId="2" borderId="0" xfId="0" applyNumberFormat="1" applyFill="1"/>
    <xf numFmtId="0" fontId="0" fillId="4" borderId="8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0" fillId="3" borderId="8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left" vertical="center" wrapText="1"/>
    </xf>
    <xf numFmtId="0" fontId="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left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left" vertical="center" wrapText="1"/>
    </xf>
    <xf numFmtId="164" fontId="0" fillId="2" borderId="3" xfId="0" applyNumberFormat="1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left" vertical="center" wrapText="1"/>
    </xf>
    <xf numFmtId="0" fontId="0" fillId="2" borderId="1" xfId="0" applyNumberFormat="1" applyFont="1" applyFill="1" applyBorder="1" applyAlignment="1">
      <alignment horizontal="center" vertical="center"/>
    </xf>
    <xf numFmtId="164" fontId="0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1" fillId="2" borderId="2" xfId="0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 wrapText="1"/>
    </xf>
    <xf numFmtId="0" fontId="1" fillId="2" borderId="11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65" fontId="0" fillId="2" borderId="3" xfId="0" applyNumberFormat="1" applyFont="1" applyFill="1" applyBorder="1" applyAlignment="1">
      <alignment horizontal="center" wrapText="1"/>
    </xf>
    <xf numFmtId="165" fontId="0" fillId="2" borderId="17" xfId="0" applyNumberFormat="1" applyFont="1" applyFill="1" applyBorder="1" applyAlignment="1">
      <alignment horizontal="center"/>
    </xf>
    <xf numFmtId="165" fontId="0" fillId="2" borderId="1" xfId="0" applyNumberFormat="1" applyFont="1" applyFill="1" applyBorder="1" applyAlignment="1">
      <alignment horizontal="center"/>
    </xf>
    <xf numFmtId="165" fontId="0" fillId="2" borderId="18" xfId="0" applyNumberFormat="1" applyFont="1" applyFill="1" applyBorder="1" applyAlignment="1">
      <alignment horizontal="center"/>
    </xf>
    <xf numFmtId="165" fontId="0" fillId="2" borderId="4" xfId="0" applyNumberFormat="1" applyFont="1" applyFill="1" applyBorder="1" applyAlignment="1">
      <alignment horizontal="center"/>
    </xf>
    <xf numFmtId="165" fontId="0" fillId="2" borderId="19" xfId="0" applyNumberFormat="1" applyFont="1" applyFill="1" applyBorder="1" applyAlignment="1">
      <alignment horizontal="center"/>
    </xf>
    <xf numFmtId="165" fontId="0" fillId="2" borderId="21" xfId="0" applyNumberFormat="1" applyFont="1" applyFill="1" applyBorder="1" applyAlignment="1">
      <alignment horizontal="center"/>
    </xf>
    <xf numFmtId="165" fontId="0" fillId="2" borderId="22" xfId="0" applyNumberFormat="1" applyFont="1" applyFill="1" applyBorder="1" applyAlignment="1">
      <alignment horizontal="center"/>
    </xf>
    <xf numFmtId="165" fontId="0" fillId="2" borderId="0" xfId="0" applyNumberFormat="1" applyFont="1" applyFill="1" applyBorder="1" applyAlignment="1">
      <alignment horizontal="center"/>
    </xf>
    <xf numFmtId="165" fontId="0" fillId="3" borderId="25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65" fontId="0" fillId="3" borderId="21" xfId="0" applyNumberFormat="1" applyFont="1" applyFill="1" applyBorder="1" applyAlignment="1">
      <alignment horizontal="center"/>
    </xf>
    <xf numFmtId="165" fontId="0" fillId="2" borderId="3" xfId="0" applyNumberFormat="1" applyFont="1" applyFill="1" applyBorder="1" applyAlignment="1">
      <alignment horizontal="center"/>
    </xf>
    <xf numFmtId="165" fontId="0" fillId="2" borderId="10" xfId="0" applyNumberFormat="1" applyFont="1" applyFill="1" applyBorder="1" applyAlignment="1">
      <alignment horizontal="center"/>
    </xf>
    <xf numFmtId="165" fontId="0" fillId="2" borderId="12" xfId="0" applyNumberFormat="1" applyFont="1" applyFill="1" applyBorder="1" applyAlignment="1">
      <alignment horizontal="center"/>
    </xf>
    <xf numFmtId="165" fontId="0" fillId="2" borderId="14" xfId="0" applyNumberFormat="1" applyFont="1" applyFill="1" applyBorder="1" applyAlignment="1">
      <alignment horizontal="center"/>
    </xf>
    <xf numFmtId="165" fontId="0" fillId="2" borderId="23" xfId="0" applyNumberFormat="1" applyFont="1" applyFill="1" applyBorder="1" applyAlignment="1">
      <alignment horizontal="center"/>
    </xf>
    <xf numFmtId="165" fontId="0" fillId="2" borderId="16" xfId="0" applyNumberFormat="1" applyFont="1" applyFill="1" applyBorder="1" applyAlignment="1">
      <alignment horizontal="center"/>
    </xf>
    <xf numFmtId="165" fontId="0" fillId="4" borderId="25" xfId="0" applyNumberFormat="1" applyFont="1" applyFill="1" applyBorder="1" applyAlignment="1">
      <alignment horizontal="center"/>
    </xf>
    <xf numFmtId="165" fontId="0" fillId="4" borderId="26" xfId="0" applyNumberFormat="1" applyFont="1" applyFill="1" applyBorder="1" applyAlignment="1">
      <alignment horizontal="center"/>
    </xf>
    <xf numFmtId="165" fontId="0" fillId="4" borderId="1" xfId="0" applyNumberFormat="1" applyFont="1" applyFill="1" applyBorder="1" applyAlignment="1">
      <alignment horizontal="center"/>
    </xf>
    <xf numFmtId="165" fontId="0" fillId="4" borderId="12" xfId="0" applyNumberFormat="1" applyFont="1" applyFill="1" applyBorder="1" applyAlignment="1">
      <alignment horizontal="center"/>
    </xf>
    <xf numFmtId="165" fontId="0" fillId="4" borderId="21" xfId="0" applyNumberFormat="1" applyFont="1" applyFill="1" applyBorder="1" applyAlignment="1">
      <alignment horizontal="center"/>
    </xf>
    <xf numFmtId="165" fontId="0" fillId="4" borderId="23" xfId="0" applyNumberFormat="1" applyFont="1" applyFill="1" applyBorder="1" applyAlignment="1">
      <alignment horizontal="center"/>
    </xf>
    <xf numFmtId="165" fontId="0" fillId="5" borderId="0" xfId="0" applyNumberFormat="1" applyFill="1"/>
    <xf numFmtId="165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left" wrapText="1"/>
    </xf>
  </cellXfs>
  <cellStyles count="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Normal" xfId="0" builtinId="0"/>
  </cellStyles>
  <dxfs count="0"/>
  <tableStyles count="0" defaultTableStyle="TableStyleMedium9" defaultPivotStyle="PivotStyleMedium7"/>
  <colors>
    <mruColors>
      <color rgb="FFCDCBCB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Total</a:t>
            </a:r>
            <a:r>
              <a:rPr lang="en-US" sz="1200" b="1" baseline="0"/>
              <a:t> Annual</a:t>
            </a:r>
          </a:p>
          <a:p>
            <a:pPr>
              <a:defRPr sz="1200"/>
            </a:pPr>
            <a:r>
              <a:rPr lang="en-US" sz="1200" b="1"/>
              <a:t>Resources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3473574545312"/>
          <c:y val="0.120601904171711"/>
          <c:w val="0.498394412799464"/>
          <c:h val="0.824608615099583"/>
        </c:manualLayout>
      </c:layout>
      <c:barChart>
        <c:barDir val="col"/>
        <c:grouping val="stacked"/>
        <c:varyColors val="0"/>
        <c:ser>
          <c:idx val="0"/>
          <c:order val="0"/>
          <c:tx>
            <c:v>Net Income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(Calculator!$G$19,Calculator!$J$19)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1"/>
          <c:tx>
            <c:v>SNAP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(Calculator!$G$4,Calculator!$J$4)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3"/>
          <c:order val="2"/>
          <c:tx>
            <c:v>TANF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(Calculator!$G$6,Calculator!$J$6)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4"/>
          <c:order val="3"/>
          <c:tx>
            <c:v>WIC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(Calculator!$G$7,Calculator!$J$7)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5"/>
          <c:order val="4"/>
          <c:tx>
            <c:v>Head Start</c:v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(Calculator!$G$8,Calculator!$J$8)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6"/>
          <c:order val="5"/>
          <c:tx>
            <c:v>EITC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2060"/>
              </a:solidFill>
              <a:ln w="0">
                <a:noFill/>
              </a:ln>
              <a:effectLst/>
              <a:scene3d>
                <a:camera prst="orthographicFront"/>
                <a:lightRig rig="threePt" dir="t"/>
              </a:scene3d>
            </c:spPr>
          </c:dPt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(Calculator!$G$5,Calculator!$J$5)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7"/>
          <c:order val="6"/>
          <c:tx>
            <c:v>SLP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(Calculator!$G$10,Calculator!$J$10)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8"/>
          <c:order val="7"/>
          <c:tx>
            <c:v>SSI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(Calculator!$G$12,Calculator!$J$12)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9"/>
          <c:order val="8"/>
          <c:tx>
            <c:v>Lifeline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(Calculator!$G$13,Calculator!$J$13)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0"/>
          <c:order val="9"/>
          <c:tx>
            <c:v>LIHEAP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Calculator!$F$2</c:f>
              <c:strCache>
                <c:ptCount val="1"/>
                <c:pt idx="0">
                  <c:v>Monthly Resources</c:v>
                </c:pt>
              </c:strCache>
            </c:strRef>
          </c:cat>
          <c:val>
            <c:numRef>
              <c:f>(Calculator!$G$11,Calculator!$J$11)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10"/>
          <c:tx>
            <c:v>SBP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(Calculator!$G$9,Calculator!$J$9)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3"/>
          <c:order val="11"/>
          <c:tx>
            <c:v>Medicaid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</c:dPt>
          <c:val>
            <c:numRef>
              <c:f>(Calculator!$G$14,Calculator!$J$14)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1"/>
          <c:order val="12"/>
          <c:tx>
            <c:v>Federal Income Tax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(Calculator!$G$16,Calculator!$J$16)</c:f>
              <c:numCache>
                <c:formatCode>"$"#,##0</c:formatCode>
                <c:ptCount val="2"/>
              </c:numCache>
            </c:numRef>
          </c:val>
        </c:ser>
        <c:ser>
          <c:idx val="12"/>
          <c:order val="13"/>
          <c:tx>
            <c:v>Payroll Tax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(Calculator!$G$17,Calculator!$J$17)</c:f>
              <c:numCache>
                <c:formatCode>"$"#,##0</c:formatCode>
                <c:ptCount val="2"/>
              </c:numCache>
            </c:numRef>
          </c:val>
        </c:ser>
        <c:ser>
          <c:idx val="14"/>
          <c:order val="14"/>
          <c:tx>
            <c:v>School Readiness</c:v>
          </c:tx>
          <c:spPr>
            <a:solidFill>
              <a:srgbClr val="CDCBCB"/>
            </a:solidFill>
            <a:ln>
              <a:noFill/>
            </a:ln>
            <a:effectLst/>
          </c:spPr>
          <c:invertIfNegative val="0"/>
          <c:val>
            <c:numRef>
              <c:f>(Calculator!$G$15,Calculator!$J$15)</c:f>
              <c:numCache>
                <c:formatCode>"$"#,##0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0224000"/>
        <c:axId val="2140232080"/>
      </c:barChart>
      <c:catAx>
        <c:axId val="214022400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Scenario 1</a:t>
                </a:r>
                <a:r>
                  <a:rPr lang="en-US" b="1" baseline="0"/>
                  <a:t>  </a:t>
                </a:r>
                <a:r>
                  <a:rPr lang="en-US" b="1"/>
                  <a:t>	         Scenario</a:t>
                </a:r>
                <a:r>
                  <a:rPr lang="en-US" b="1" baseline="0"/>
                  <a:t> 2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233923249707362"/>
              <c:y val="0.9473274758579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2140232080"/>
        <c:crosses val="autoZero"/>
        <c:auto val="1"/>
        <c:lblAlgn val="ctr"/>
        <c:lblOffset val="100"/>
        <c:noMultiLvlLbl val="0"/>
      </c:catAx>
      <c:valAx>
        <c:axId val="214023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22400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699059041214663"/>
          <c:y val="0.149037851045625"/>
          <c:w val="0.295668489314242"/>
          <c:h val="0.7451504406320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Modified Sample Family Total Resources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Sheet1!$A$5</c:f>
              <c:strCache>
                <c:ptCount val="1"/>
                <c:pt idx="0">
                  <c:v>Income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cat>
            <c:numRef>
              <c:f>Sheet1!$B$4:$D$4</c:f>
              <c:numCache>
                <c:formatCode>"$"#,##0.00</c:formatCode>
                <c:ptCount val="3"/>
                <c:pt idx="0">
                  <c:v>8.05</c:v>
                </c:pt>
                <c:pt idx="1">
                  <c:v>10.1</c:v>
                </c:pt>
                <c:pt idx="2">
                  <c:v>15.0</c:v>
                </c:pt>
              </c:numCache>
            </c:numRef>
          </c:cat>
          <c:val>
            <c:numRef>
              <c:f>Sheet1!$B$5:$D$5</c:f>
              <c:numCache>
                <c:formatCode>"$"#,##0</c:formatCode>
                <c:ptCount val="3"/>
                <c:pt idx="0">
                  <c:v>15459.39</c:v>
                </c:pt>
                <c:pt idx="1">
                  <c:v>19404.582</c:v>
                </c:pt>
                <c:pt idx="2">
                  <c:v>27838.2</c:v>
                </c:pt>
              </c:numCache>
            </c:numRef>
          </c:val>
        </c:ser>
        <c:ser>
          <c:idx val="1"/>
          <c:order val="1"/>
          <c:tx>
            <c:strRef>
              <c:f>Sheet1!$A$6</c:f>
              <c:strCache>
                <c:ptCount val="1"/>
                <c:pt idx="0">
                  <c:v>Benefits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Sheet1!$B$4:$D$4</c:f>
              <c:numCache>
                <c:formatCode>"$"#,##0.00</c:formatCode>
                <c:ptCount val="3"/>
                <c:pt idx="0">
                  <c:v>8.05</c:v>
                </c:pt>
                <c:pt idx="1">
                  <c:v>10.1</c:v>
                </c:pt>
                <c:pt idx="2">
                  <c:v>15.0</c:v>
                </c:pt>
              </c:numCache>
            </c:numRef>
          </c:cat>
          <c:val>
            <c:numRef>
              <c:f>Sheet1!$B$6:$D$6</c:f>
              <c:numCache>
                <c:formatCode>"$"#,##0</c:formatCode>
                <c:ptCount val="3"/>
                <c:pt idx="0">
                  <c:v>16430.0</c:v>
                </c:pt>
                <c:pt idx="1">
                  <c:v>17163.1988</c:v>
                </c:pt>
                <c:pt idx="2">
                  <c:v>11626.846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6"/>
        <c:overlap val="100"/>
        <c:axId val="2139182576"/>
        <c:axId val="2139185936"/>
      </c:barChart>
      <c:catAx>
        <c:axId val="2139182576"/>
        <c:scaling>
          <c:orientation val="minMax"/>
        </c:scaling>
        <c:delete val="0"/>
        <c:axPos val="b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185936"/>
        <c:crosses val="autoZero"/>
        <c:auto val="1"/>
        <c:lblAlgn val="ctr"/>
        <c:lblOffset val="100"/>
        <c:noMultiLvlLbl val="0"/>
      </c:catAx>
      <c:valAx>
        <c:axId val="213918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Maximum Annual</a:t>
                </a:r>
                <a:r>
                  <a:rPr lang="en-US" sz="1200" baseline="0"/>
                  <a:t> Resources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18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Married</a:t>
            </a:r>
            <a:r>
              <a:rPr lang="en-US" baseline="0"/>
              <a:t> Couple, 2 Dependent Children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Children Ages 2 and 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Sheet1!$B$11:$D$11</c:f>
              <c:numCache>
                <c:formatCode>"$"#,##0.00</c:formatCode>
                <c:ptCount val="3"/>
                <c:pt idx="0">
                  <c:v>8.05</c:v>
                </c:pt>
                <c:pt idx="1">
                  <c:v>10.1</c:v>
                </c:pt>
                <c:pt idx="2">
                  <c:v>15.0</c:v>
                </c:pt>
              </c:numCache>
            </c:numRef>
          </c:cat>
          <c:val>
            <c:numRef>
              <c:f>Sheet1!$B$12:$D$12</c:f>
              <c:numCache>
                <c:formatCode>"$"#,##0</c:formatCode>
                <c:ptCount val="3"/>
                <c:pt idx="0">
                  <c:v>53236.2248</c:v>
                </c:pt>
                <c:pt idx="1">
                  <c:v>48553.3528</c:v>
                </c:pt>
                <c:pt idx="2">
                  <c:v>58025.9</c:v>
                </c:pt>
              </c:numCache>
            </c:numRef>
          </c:val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Children Ages 14, 16, and 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Sheet1!$B$11:$D$11</c:f>
              <c:numCache>
                <c:formatCode>"$"#,##0.00</c:formatCode>
                <c:ptCount val="3"/>
                <c:pt idx="0">
                  <c:v>8.05</c:v>
                </c:pt>
                <c:pt idx="1">
                  <c:v>10.1</c:v>
                </c:pt>
                <c:pt idx="2">
                  <c:v>15.0</c:v>
                </c:pt>
              </c:numCache>
            </c:numRef>
          </c:cat>
          <c:val>
            <c:numRef>
              <c:f>Sheet1!$B$13:$D$13</c:f>
              <c:numCache>
                <c:formatCode>"$"#,##0</c:formatCode>
                <c:ptCount val="3"/>
                <c:pt idx="0">
                  <c:v>45168.8048</c:v>
                </c:pt>
                <c:pt idx="1">
                  <c:v>49404.5128</c:v>
                </c:pt>
                <c:pt idx="2">
                  <c:v>58227.5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468896"/>
        <c:axId val="2113472368"/>
      </c:barChart>
      <c:catAx>
        <c:axId val="2113468896"/>
        <c:scaling>
          <c:orientation val="minMax"/>
        </c:scaling>
        <c:delete val="0"/>
        <c:axPos val="b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472368"/>
        <c:crosses val="autoZero"/>
        <c:auto val="1"/>
        <c:lblAlgn val="ctr"/>
        <c:lblOffset val="100"/>
        <c:noMultiLvlLbl val="0"/>
      </c:catAx>
      <c:valAx>
        <c:axId val="211347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46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Married Couple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Sheet1!$A$20</c:f>
              <c:strCache>
                <c:ptCount val="1"/>
                <c:pt idx="0">
                  <c:v>Single Invidual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Sheet1!$B$19:$D$19</c:f>
              <c:numCache>
                <c:formatCode>"$"#,##0.00</c:formatCode>
                <c:ptCount val="3"/>
                <c:pt idx="0">
                  <c:v>8.05</c:v>
                </c:pt>
                <c:pt idx="1">
                  <c:v>10.1</c:v>
                </c:pt>
                <c:pt idx="2">
                  <c:v>15.0</c:v>
                </c:pt>
              </c:numCache>
            </c:numRef>
          </c:cat>
          <c:val>
            <c:numRef>
              <c:f>Sheet1!$B$20:$D$20</c:f>
              <c:numCache>
                <c:formatCode>"$"#,##0</c:formatCode>
                <c:ptCount val="3"/>
                <c:pt idx="0">
                  <c:v>33641.142</c:v>
                </c:pt>
                <c:pt idx="1">
                  <c:v>40008.062</c:v>
                </c:pt>
                <c:pt idx="2">
                  <c:v>54554.9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531696"/>
        <c:axId val="2113535040"/>
      </c:barChart>
      <c:catAx>
        <c:axId val="2113531696"/>
        <c:scaling>
          <c:orientation val="minMax"/>
        </c:scaling>
        <c:delete val="0"/>
        <c:axPos val="b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35040"/>
        <c:crosses val="autoZero"/>
        <c:auto val="1"/>
        <c:lblAlgn val="ctr"/>
        <c:lblOffset val="100"/>
        <c:noMultiLvlLbl val="0"/>
      </c:catAx>
      <c:valAx>
        <c:axId val="211353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3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952500</xdr:colOff>
          <xdr:row>21</xdr:row>
          <xdr:rowOff>63500</xdr:rowOff>
        </xdr:from>
        <xdr:to>
          <xdr:col>6</xdr:col>
          <xdr:colOff>673100</xdr:colOff>
          <xdr:row>23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Calculate Scenario Number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1638300</xdr:colOff>
          <xdr:row>20</xdr:row>
          <xdr:rowOff>88900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Reset Calculator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545997</xdr:colOff>
      <xdr:row>0</xdr:row>
      <xdr:rowOff>142552</xdr:rowOff>
    </xdr:from>
    <xdr:to>
      <xdr:col>16</xdr:col>
      <xdr:colOff>311020</xdr:colOff>
      <xdr:row>24</xdr:row>
      <xdr:rowOff>173568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1003300</xdr:colOff>
          <xdr:row>21</xdr:row>
          <xdr:rowOff>38100</xdr:rowOff>
        </xdr:from>
        <xdr:to>
          <xdr:col>9</xdr:col>
          <xdr:colOff>800100</xdr:colOff>
          <xdr:row>23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Calculate Scenario Number 2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609600</xdr:colOff>
      <xdr:row>0</xdr:row>
      <xdr:rowOff>152400</xdr:rowOff>
    </xdr:from>
    <xdr:to>
      <xdr:col>13</xdr:col>
      <xdr:colOff>165100</xdr:colOff>
      <xdr:row>21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266700</xdr:colOff>
      <xdr:row>8</xdr:row>
      <xdr:rowOff>25400</xdr:rowOff>
    </xdr:from>
    <xdr:to>
      <xdr:col>12</xdr:col>
      <xdr:colOff>482600</xdr:colOff>
      <xdr:row>27</xdr:row>
      <xdr:rowOff>177800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146050</xdr:colOff>
      <xdr:row>0</xdr:row>
      <xdr:rowOff>63500</xdr:rowOff>
    </xdr:from>
    <xdr:to>
      <xdr:col>9</xdr:col>
      <xdr:colOff>63500</xdr:colOff>
      <xdr:row>17</xdr:row>
      <xdr:rowOff>127000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Q68"/>
  <sheetViews>
    <sheetView showGridLines="0" tabSelected="1" zoomScale="98" zoomScaleNormal="98" zoomScalePageLayoutView="98" workbookViewId="0">
      <selection activeCell="D21" sqref="D21"/>
    </sheetView>
  </sheetViews>
  <sheetFormatPr baseColWidth="10" defaultRowHeight="16" x14ac:dyDescent="0.2"/>
  <cols>
    <col min="1" max="1" width="14.6640625" customWidth="1"/>
    <col min="2" max="2" width="43.6640625" customWidth="1"/>
    <col min="3" max="3" width="11.6640625" customWidth="1"/>
    <col min="4" max="4" width="9.1640625" customWidth="1"/>
    <col min="5" max="5" width="19.1640625" customWidth="1"/>
    <col min="6" max="6" width="13" customWidth="1"/>
    <col min="7" max="7" width="13.6640625" customWidth="1"/>
    <col min="8" max="8" width="21" customWidth="1"/>
    <col min="9" max="9" width="12.1640625" customWidth="1"/>
    <col min="10" max="10" width="13.5" customWidth="1"/>
  </cols>
  <sheetData>
    <row r="1" spans="1:17" ht="17" thickBot="1" x14ac:dyDescent="0.25">
      <c r="B1" s="33" t="s">
        <v>2</v>
      </c>
      <c r="C1" s="34"/>
      <c r="D1" s="15"/>
      <c r="E1" s="26"/>
      <c r="F1" s="30"/>
      <c r="G1" s="30"/>
      <c r="H1" s="22"/>
      <c r="I1" s="31"/>
      <c r="J1" s="32"/>
      <c r="K1" s="15"/>
      <c r="L1" s="15"/>
      <c r="M1" s="15"/>
      <c r="N1" s="15"/>
      <c r="O1" s="15"/>
      <c r="P1" s="15"/>
      <c r="Q1" s="15"/>
    </row>
    <row r="2" spans="1:17" ht="33" thickBot="1" x14ac:dyDescent="0.25">
      <c r="B2" s="33" t="s">
        <v>9</v>
      </c>
      <c r="C2" s="35"/>
      <c r="D2" s="9"/>
      <c r="E2" s="48"/>
      <c r="F2" s="49" t="s">
        <v>21</v>
      </c>
      <c r="G2" s="50" t="s">
        <v>22</v>
      </c>
      <c r="H2" s="51"/>
      <c r="I2" s="52" t="s">
        <v>21</v>
      </c>
      <c r="J2" s="52" t="s">
        <v>22</v>
      </c>
      <c r="K2" s="15"/>
      <c r="L2" s="15"/>
      <c r="M2" s="15"/>
      <c r="N2" s="15"/>
      <c r="O2" s="15"/>
      <c r="P2" s="15"/>
      <c r="Q2" s="15"/>
    </row>
    <row r="3" spans="1:17" x14ac:dyDescent="0.2">
      <c r="B3" s="33" t="s">
        <v>13</v>
      </c>
      <c r="C3" s="35"/>
      <c r="D3" s="10"/>
      <c r="E3" s="53" t="s">
        <v>26</v>
      </c>
      <c r="F3" s="58"/>
      <c r="G3" s="59">
        <f t="shared" ref="G3:G15" si="0">F3*12</f>
        <v>0</v>
      </c>
      <c r="H3" s="53" t="s">
        <v>26</v>
      </c>
      <c r="I3" s="70"/>
      <c r="J3" s="71">
        <f t="shared" ref="J3:J15" si="1">I3*12</f>
        <v>0</v>
      </c>
      <c r="K3" s="15"/>
      <c r="L3" s="21"/>
      <c r="M3" s="21"/>
      <c r="N3" s="15"/>
      <c r="O3" s="15"/>
      <c r="P3" s="15"/>
      <c r="Q3" s="15"/>
    </row>
    <row r="4" spans="1:17" x14ac:dyDescent="0.2">
      <c r="B4" s="33" t="s">
        <v>30</v>
      </c>
      <c r="C4" s="35"/>
      <c r="D4" s="11"/>
      <c r="E4" s="54" t="s">
        <v>15</v>
      </c>
      <c r="F4" s="60"/>
      <c r="G4" s="61">
        <f t="shared" si="0"/>
        <v>0</v>
      </c>
      <c r="H4" s="54" t="s">
        <v>15</v>
      </c>
      <c r="I4" s="60"/>
      <c r="J4" s="72">
        <f t="shared" si="1"/>
        <v>0</v>
      </c>
      <c r="K4" s="15"/>
      <c r="L4" s="21"/>
      <c r="M4" s="21"/>
      <c r="N4" s="15"/>
      <c r="O4" s="15"/>
      <c r="P4" s="15"/>
      <c r="Q4" s="15"/>
    </row>
    <row r="5" spans="1:17" ht="21" x14ac:dyDescent="0.25">
      <c r="A5" s="1"/>
      <c r="B5" s="33" t="s">
        <v>31</v>
      </c>
      <c r="C5" s="35"/>
      <c r="D5" s="11"/>
      <c r="E5" s="54" t="s">
        <v>5</v>
      </c>
      <c r="F5" s="60"/>
      <c r="G5" s="61">
        <f t="shared" si="0"/>
        <v>0</v>
      </c>
      <c r="H5" s="54" t="s">
        <v>5</v>
      </c>
      <c r="I5" s="60"/>
      <c r="J5" s="72">
        <f t="shared" si="1"/>
        <v>0</v>
      </c>
      <c r="K5" s="15"/>
      <c r="L5" s="21"/>
      <c r="M5" s="21"/>
      <c r="N5" s="15"/>
      <c r="O5" s="15"/>
      <c r="P5" s="15"/>
      <c r="Q5" s="15"/>
    </row>
    <row r="6" spans="1:17" x14ac:dyDescent="0.2">
      <c r="B6" s="33" t="s">
        <v>32</v>
      </c>
      <c r="C6" s="35"/>
      <c r="D6" s="11"/>
      <c r="E6" s="54" t="s">
        <v>7</v>
      </c>
      <c r="F6" s="60"/>
      <c r="G6" s="61">
        <f t="shared" si="0"/>
        <v>0</v>
      </c>
      <c r="H6" s="54" t="s">
        <v>7</v>
      </c>
      <c r="I6" s="60"/>
      <c r="J6" s="72">
        <f t="shared" si="1"/>
        <v>0</v>
      </c>
      <c r="K6" s="15"/>
      <c r="L6" s="21"/>
      <c r="M6" s="21"/>
      <c r="N6" s="15"/>
      <c r="O6" s="15"/>
      <c r="P6" s="15"/>
      <c r="Q6" s="15"/>
    </row>
    <row r="7" spans="1:17" x14ac:dyDescent="0.2">
      <c r="B7" s="36" t="s">
        <v>33</v>
      </c>
      <c r="C7" s="35"/>
      <c r="D7" s="11"/>
      <c r="E7" s="54" t="s">
        <v>8</v>
      </c>
      <c r="F7" s="60"/>
      <c r="G7" s="61">
        <f t="shared" si="0"/>
        <v>0</v>
      </c>
      <c r="H7" s="54" t="s">
        <v>8</v>
      </c>
      <c r="I7" s="60"/>
      <c r="J7" s="72">
        <f t="shared" si="1"/>
        <v>0</v>
      </c>
      <c r="K7" s="15"/>
      <c r="L7" s="21"/>
      <c r="M7" s="21"/>
      <c r="N7" s="15"/>
      <c r="O7" s="15"/>
      <c r="P7" s="15"/>
      <c r="Q7" s="15"/>
    </row>
    <row r="8" spans="1:17" x14ac:dyDescent="0.2">
      <c r="B8" s="36" t="s">
        <v>34</v>
      </c>
      <c r="C8" s="37"/>
      <c r="D8" s="11"/>
      <c r="E8" s="54" t="s">
        <v>20</v>
      </c>
      <c r="F8" s="60"/>
      <c r="G8" s="61">
        <f t="shared" si="0"/>
        <v>0</v>
      </c>
      <c r="H8" s="54" t="s">
        <v>20</v>
      </c>
      <c r="I8" s="60"/>
      <c r="J8" s="72">
        <f t="shared" si="1"/>
        <v>0</v>
      </c>
      <c r="K8" s="15"/>
      <c r="L8" s="21"/>
      <c r="M8" s="21"/>
      <c r="N8" s="15"/>
      <c r="O8" s="15"/>
      <c r="P8" s="15"/>
      <c r="Q8" s="15"/>
    </row>
    <row r="9" spans="1:17" x14ac:dyDescent="0.2">
      <c r="B9" s="38" t="s">
        <v>10</v>
      </c>
      <c r="C9" s="39" t="str">
        <f>IF($C$1="Single",1+$C$2+$C$3+$C$4+$C$5+$C$6+$C$7+$C$8,IF($C$1="Married",2+$C$2+$C$3+$C$4+$C$5+$C$6+$C$7+$C$8,""))</f>
        <v/>
      </c>
      <c r="D9" s="14"/>
      <c r="E9" s="54" t="s">
        <v>12</v>
      </c>
      <c r="F9" s="60"/>
      <c r="G9" s="61">
        <f t="shared" si="0"/>
        <v>0</v>
      </c>
      <c r="H9" s="54" t="s">
        <v>12</v>
      </c>
      <c r="I9" s="60"/>
      <c r="J9" s="72">
        <f t="shared" si="1"/>
        <v>0</v>
      </c>
      <c r="K9" s="15"/>
      <c r="L9" s="21"/>
      <c r="M9" s="21"/>
      <c r="N9" s="15"/>
      <c r="O9" s="15"/>
      <c r="P9" s="15"/>
      <c r="Q9" s="15"/>
    </row>
    <row r="10" spans="1:17" x14ac:dyDescent="0.2">
      <c r="B10" s="40" t="s">
        <v>35</v>
      </c>
      <c r="C10" s="41"/>
      <c r="D10" s="12"/>
      <c r="E10" s="54" t="s">
        <v>11</v>
      </c>
      <c r="F10" s="60"/>
      <c r="G10" s="61">
        <f t="shared" si="0"/>
        <v>0</v>
      </c>
      <c r="H10" s="54" t="s">
        <v>11</v>
      </c>
      <c r="I10" s="60"/>
      <c r="J10" s="72">
        <f t="shared" si="1"/>
        <v>0</v>
      </c>
      <c r="K10" s="15"/>
      <c r="L10" s="21"/>
      <c r="M10" s="21"/>
      <c r="N10" s="15"/>
      <c r="O10" s="15"/>
      <c r="P10" s="15"/>
      <c r="Q10" s="15"/>
    </row>
    <row r="11" spans="1:17" x14ac:dyDescent="0.2">
      <c r="B11" s="42" t="s">
        <v>36</v>
      </c>
      <c r="C11" s="43"/>
      <c r="D11" s="8"/>
      <c r="E11" s="54" t="s">
        <v>6</v>
      </c>
      <c r="F11" s="60"/>
      <c r="G11" s="61">
        <f t="shared" si="0"/>
        <v>0</v>
      </c>
      <c r="H11" s="54" t="s">
        <v>6</v>
      </c>
      <c r="I11" s="60"/>
      <c r="J11" s="72">
        <f t="shared" si="1"/>
        <v>0</v>
      </c>
      <c r="K11" s="15"/>
      <c r="L11" s="21"/>
      <c r="M11" s="21"/>
      <c r="N11" s="15"/>
      <c r="O11" s="15"/>
      <c r="P11" s="15"/>
      <c r="Q11" s="15"/>
    </row>
    <row r="12" spans="1:17" x14ac:dyDescent="0.2">
      <c r="B12" s="42" t="s">
        <v>37</v>
      </c>
      <c r="C12" s="44" t="str">
        <f>IF($C$1="Single","N/A","")</f>
        <v/>
      </c>
      <c r="D12" s="13"/>
      <c r="E12" s="54" t="s">
        <v>14</v>
      </c>
      <c r="F12" s="60"/>
      <c r="G12" s="61">
        <f t="shared" si="0"/>
        <v>0</v>
      </c>
      <c r="H12" s="54" t="s">
        <v>14</v>
      </c>
      <c r="I12" s="60"/>
      <c r="J12" s="72">
        <f t="shared" si="1"/>
        <v>0</v>
      </c>
      <c r="K12" s="15"/>
      <c r="L12" s="21"/>
      <c r="M12" s="21"/>
      <c r="N12" s="15"/>
      <c r="O12" s="15"/>
      <c r="P12" s="15"/>
      <c r="Q12" s="15"/>
    </row>
    <row r="13" spans="1:17" ht="32" x14ac:dyDescent="0.2">
      <c r="B13" s="42" t="s">
        <v>38</v>
      </c>
      <c r="C13" s="43" t="str">
        <f>IF($C$1="Single","N/A","")</f>
        <v/>
      </c>
      <c r="D13" s="13"/>
      <c r="E13" s="54" t="s">
        <v>19</v>
      </c>
      <c r="F13" s="60"/>
      <c r="G13" s="61">
        <f t="shared" si="0"/>
        <v>0</v>
      </c>
      <c r="H13" s="54" t="s">
        <v>19</v>
      </c>
      <c r="I13" s="60"/>
      <c r="J13" s="72">
        <f t="shared" si="1"/>
        <v>0</v>
      </c>
      <c r="K13" s="15"/>
      <c r="L13" s="21"/>
      <c r="M13" s="21"/>
      <c r="N13" s="15"/>
      <c r="O13" s="15"/>
      <c r="P13" s="15"/>
      <c r="Q13" s="15"/>
    </row>
    <row r="14" spans="1:17" ht="37" customHeight="1" x14ac:dyDescent="0.2">
      <c r="B14" s="42" t="s">
        <v>41</v>
      </c>
      <c r="C14" s="44"/>
      <c r="D14" s="8"/>
      <c r="E14" s="54" t="s">
        <v>48</v>
      </c>
      <c r="F14" s="60"/>
      <c r="G14" s="61">
        <f t="shared" si="0"/>
        <v>0</v>
      </c>
      <c r="H14" s="54" t="s">
        <v>48</v>
      </c>
      <c r="I14" s="60"/>
      <c r="J14" s="72">
        <f t="shared" si="1"/>
        <v>0</v>
      </c>
      <c r="K14" s="15"/>
      <c r="L14" s="15"/>
      <c r="M14" s="15"/>
      <c r="N14" s="15"/>
      <c r="O14" s="15"/>
      <c r="P14" s="15"/>
      <c r="Q14" s="15"/>
    </row>
    <row r="15" spans="1:17" x14ac:dyDescent="0.2">
      <c r="B15" s="45" t="s">
        <v>3</v>
      </c>
      <c r="C15" s="46" t="e">
        <f>IF($C$1="Single",ROUND(($C$10*$C$11)*52/12,0),ROUND(($C$10*$C$11+$C$12*$C$13)*52/12,0))</f>
        <v>#VALUE!</v>
      </c>
      <c r="D15" s="8"/>
      <c r="E15" s="54" t="s">
        <v>29</v>
      </c>
      <c r="F15" s="60"/>
      <c r="G15" s="61">
        <f t="shared" si="0"/>
        <v>0</v>
      </c>
      <c r="H15" s="54" t="s">
        <v>29</v>
      </c>
      <c r="I15" s="60"/>
      <c r="J15" s="72">
        <f t="shared" si="1"/>
        <v>0</v>
      </c>
      <c r="K15" s="15"/>
      <c r="L15" s="15"/>
      <c r="M15" s="15"/>
      <c r="N15" s="15"/>
      <c r="O15" s="15"/>
      <c r="P15" s="15"/>
      <c r="Q15" s="15"/>
    </row>
    <row r="16" spans="1:17" x14ac:dyDescent="0.2">
      <c r="B16" s="38" t="s">
        <v>4</v>
      </c>
      <c r="C16" s="46" t="e">
        <f>$C$15+$C$14</f>
        <v>#VALUE!</v>
      </c>
      <c r="D16" s="8"/>
      <c r="E16" s="54" t="s">
        <v>23</v>
      </c>
      <c r="F16" s="62">
        <f>G16/12</f>
        <v>0</v>
      </c>
      <c r="G16" s="63"/>
      <c r="H16" s="55" t="s">
        <v>23</v>
      </c>
      <c r="I16" s="62">
        <f>J16/12</f>
        <v>0</v>
      </c>
      <c r="J16" s="73"/>
      <c r="K16" s="15"/>
      <c r="L16" s="15"/>
      <c r="M16" s="15"/>
      <c r="N16" s="15"/>
      <c r="O16" s="15"/>
      <c r="P16" s="15"/>
      <c r="Q16" s="15"/>
    </row>
    <row r="17" spans="2:17" ht="17" thickBot="1" x14ac:dyDescent="0.25">
      <c r="B17" s="84"/>
      <c r="C17" s="84"/>
      <c r="D17" s="14"/>
      <c r="E17" s="56" t="s">
        <v>24</v>
      </c>
      <c r="F17" s="64">
        <f>G17/12</f>
        <v>0</v>
      </c>
      <c r="G17" s="65"/>
      <c r="H17" s="56" t="s">
        <v>24</v>
      </c>
      <c r="I17" s="64">
        <f>J17/12</f>
        <v>0</v>
      </c>
      <c r="J17" s="74"/>
      <c r="K17" s="15"/>
      <c r="L17" s="15"/>
      <c r="M17" s="15"/>
      <c r="N17" s="15"/>
      <c r="O17" s="15"/>
      <c r="P17" s="15"/>
      <c r="Q17" s="15"/>
    </row>
    <row r="18" spans="2:17" ht="17" thickBot="1" x14ac:dyDescent="0.25">
      <c r="B18" s="40" t="s">
        <v>39</v>
      </c>
      <c r="C18" s="41"/>
      <c r="D18" s="8"/>
      <c r="E18" s="57"/>
      <c r="F18" s="66"/>
      <c r="G18" s="66"/>
      <c r="H18" s="9"/>
      <c r="I18" s="66"/>
      <c r="J18" s="75"/>
      <c r="K18" s="15"/>
      <c r="L18" s="15"/>
      <c r="M18" s="15"/>
      <c r="N18" s="15"/>
      <c r="O18" s="15"/>
      <c r="P18" s="15"/>
      <c r="Q18" s="15"/>
    </row>
    <row r="19" spans="2:17" x14ac:dyDescent="0.2">
      <c r="B19" s="42" t="s">
        <v>40</v>
      </c>
      <c r="C19" s="44"/>
      <c r="D19" s="8"/>
      <c r="E19" s="27" t="s">
        <v>27</v>
      </c>
      <c r="F19" s="67">
        <f>SUM(F3,F16,F17)</f>
        <v>0</v>
      </c>
      <c r="G19" s="67">
        <f>F19*12</f>
        <v>0</v>
      </c>
      <c r="H19" s="23" t="s">
        <v>27</v>
      </c>
      <c r="I19" s="76">
        <f>SUM(I3,I16,I17)</f>
        <v>0</v>
      </c>
      <c r="J19" s="77">
        <f>I19*12</f>
        <v>0</v>
      </c>
      <c r="K19" s="15"/>
      <c r="L19" s="15"/>
      <c r="M19" s="15"/>
      <c r="N19" s="15"/>
      <c r="O19" s="15"/>
      <c r="P19" s="15"/>
      <c r="Q19" s="15"/>
    </row>
    <row r="20" spans="2:17" x14ac:dyDescent="0.2">
      <c r="B20" s="33" t="s">
        <v>42</v>
      </c>
      <c r="C20" s="34"/>
      <c r="D20" s="3"/>
      <c r="E20" s="28" t="s">
        <v>28</v>
      </c>
      <c r="F20" s="68">
        <f>SUM(F4:F15)</f>
        <v>0</v>
      </c>
      <c r="G20" s="68">
        <f>F20*12</f>
        <v>0</v>
      </c>
      <c r="H20" s="24" t="s">
        <v>28</v>
      </c>
      <c r="I20" s="78">
        <f>SUM(I4:I15)</f>
        <v>0</v>
      </c>
      <c r="J20" s="79">
        <f>I20*12</f>
        <v>0</v>
      </c>
      <c r="K20" s="15"/>
      <c r="L20" s="15"/>
      <c r="M20" s="15"/>
      <c r="N20" s="15"/>
      <c r="O20" s="15"/>
      <c r="P20" s="15"/>
      <c r="Q20" s="15"/>
    </row>
    <row r="21" spans="2:17" ht="17" thickBot="1" x14ac:dyDescent="0.25">
      <c r="B21" s="7"/>
      <c r="C21" s="47"/>
      <c r="D21" s="3"/>
      <c r="E21" s="29" t="s">
        <v>16</v>
      </c>
      <c r="F21" s="69">
        <f>SUM(F19:F20)</f>
        <v>0</v>
      </c>
      <c r="G21" s="69">
        <f>F21*12</f>
        <v>0</v>
      </c>
      <c r="H21" s="25" t="s">
        <v>16</v>
      </c>
      <c r="I21" s="80">
        <f>SUM(I19:I20)</f>
        <v>0</v>
      </c>
      <c r="J21" s="81">
        <f>I21*12</f>
        <v>0</v>
      </c>
      <c r="K21" s="15"/>
      <c r="L21" s="15"/>
      <c r="M21" s="15"/>
      <c r="N21" s="15"/>
      <c r="O21" s="15"/>
      <c r="P21" s="15"/>
      <c r="Q21" s="15"/>
    </row>
    <row r="22" spans="2:17" x14ac:dyDescent="0.2">
      <c r="B22" s="7"/>
      <c r="C22" s="3"/>
      <c r="D22" s="3"/>
      <c r="E22" s="85"/>
      <c r="F22" s="85"/>
      <c r="G22" s="21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spans="2:17" x14ac:dyDescent="0.2">
      <c r="B23" s="7"/>
      <c r="C23" s="3"/>
      <c r="D23" s="3"/>
      <c r="E23" s="5"/>
      <c r="F23" s="6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spans="2:17" x14ac:dyDescent="0.2">
      <c r="B24" s="15"/>
      <c r="C24" s="15"/>
      <c r="D24" s="15"/>
      <c r="E24" s="5"/>
      <c r="F24" s="6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spans="2:17" x14ac:dyDescent="0.2">
      <c r="B25" s="15"/>
      <c r="C25" s="15"/>
      <c r="D25" s="15"/>
      <c r="E25" s="4"/>
      <c r="F25" s="6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</row>
    <row r="26" spans="2:17" x14ac:dyDescent="0.2">
      <c r="B26" s="15"/>
      <c r="C26" s="15"/>
      <c r="D26" s="15"/>
      <c r="E26" s="5"/>
      <c r="F26" s="6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2:17" x14ac:dyDescent="0.2">
      <c r="B27" s="18"/>
      <c r="C27" s="18"/>
      <c r="D27" s="18"/>
      <c r="E27" s="16"/>
      <c r="F27" s="17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</row>
    <row r="28" spans="2:17" x14ac:dyDescent="0.2">
      <c r="E28" s="19"/>
      <c r="F28" s="17"/>
      <c r="G28" s="82"/>
      <c r="H28" s="18"/>
      <c r="I28" s="18"/>
      <c r="J28" s="18"/>
    </row>
    <row r="29" spans="2:17" x14ac:dyDescent="0.2">
      <c r="E29" s="16"/>
      <c r="F29" s="17"/>
      <c r="G29" s="82"/>
      <c r="H29" s="18"/>
      <c r="I29" s="18"/>
      <c r="J29" s="18"/>
    </row>
    <row r="30" spans="2:17" x14ac:dyDescent="0.2">
      <c r="E30" s="16"/>
      <c r="F30" s="20"/>
      <c r="G30" s="82"/>
      <c r="H30" s="18"/>
      <c r="I30" s="18"/>
      <c r="J30" s="18"/>
    </row>
    <row r="31" spans="2:17" x14ac:dyDescent="0.2">
      <c r="E31" s="18"/>
      <c r="F31" s="18"/>
      <c r="G31" s="18"/>
      <c r="H31" s="18"/>
      <c r="I31" s="18"/>
      <c r="J31" s="18"/>
    </row>
    <row r="49" spans="2:9" x14ac:dyDescent="0.2">
      <c r="E49" t="e">
        <f>IF(($C$16*12-9300-4050*3)&lt;0,0,$C$16*12-9300-4050*3)</f>
        <v>#VALUE!</v>
      </c>
    </row>
    <row r="50" spans="2:9" x14ac:dyDescent="0.2">
      <c r="C50" t="e">
        <f>IF(($C$16-0.2* $C$15-226)&lt;0,0, $C$16-0.2* $C$15-226)</f>
        <v>#VALUE!</v>
      </c>
      <c r="D50" t="e">
        <f>IF($C$15&gt;=65,$C$16-20-65-($C$15-65)/2,$C$16-20)</f>
        <v>#VALUE!</v>
      </c>
      <c r="E50" t="e">
        <f>IF(($C$16*12-12600-4050*8)&lt;0,0,$C$16*12-12600-4050*8)</f>
        <v>#VALUE!</v>
      </c>
      <c r="H50">
        <f>($C$2*507+($C$3+$C$4)*429+($C$5+$C$6)*403+$C$7*273)</f>
        <v>0</v>
      </c>
      <c r="I50" t="e">
        <f>($C$16*0.09+($C$16*0.09/2*(SUM($C$2,$C$3,$C$4,$C$5,$C$6,$C$7)-1)))</f>
        <v>#VALUE!</v>
      </c>
    </row>
    <row r="53" spans="2:9" x14ac:dyDescent="0.2">
      <c r="B53">
        <v>0</v>
      </c>
    </row>
    <row r="54" spans="2:9" x14ac:dyDescent="0.2">
      <c r="B54">
        <v>1</v>
      </c>
      <c r="C54" t="s">
        <v>0</v>
      </c>
      <c r="D54" t="s">
        <v>17</v>
      </c>
      <c r="E54" t="e">
        <f>IF(($C$16*12-9300-4050*3)&lt;0,0,$C$16*12-9300-4050*3)</f>
        <v>#VALUE!</v>
      </c>
      <c r="G54" t="s">
        <v>25</v>
      </c>
    </row>
    <row r="55" spans="2:9" x14ac:dyDescent="0.2">
      <c r="B55">
        <v>2</v>
      </c>
      <c r="C55" t="s">
        <v>1</v>
      </c>
      <c r="D55" t="s">
        <v>18</v>
      </c>
      <c r="G55" s="2">
        <f>G3-G15-G16</f>
        <v>0</v>
      </c>
    </row>
    <row r="56" spans="2:9" x14ac:dyDescent="0.2">
      <c r="B56">
        <v>3</v>
      </c>
    </row>
    <row r="57" spans="2:9" x14ac:dyDescent="0.2">
      <c r="B57">
        <v>4</v>
      </c>
    </row>
    <row r="58" spans="2:9" x14ac:dyDescent="0.2">
      <c r="B58">
        <v>5</v>
      </c>
    </row>
    <row r="59" spans="2:9" x14ac:dyDescent="0.2">
      <c r="B59">
        <v>6</v>
      </c>
    </row>
    <row r="60" spans="2:9" x14ac:dyDescent="0.2">
      <c r="B60">
        <v>7</v>
      </c>
    </row>
    <row r="61" spans="2:9" x14ac:dyDescent="0.2">
      <c r="B61">
        <v>8</v>
      </c>
    </row>
    <row r="65" spans="2:3" x14ac:dyDescent="0.2">
      <c r="B65" t="e">
        <f>IF($C$16 &lt;=7020.48,250,IF($C$16&gt;7020.48,IF($C$16&lt;=7156.8,225,0)))</f>
        <v>#VALUE!</v>
      </c>
      <c r="C65" t="e">
        <f>IF($C$16 &lt;=7020.48,250,IF($C$16&gt;7020.48,IF($C$16&lt;=7156.8,225,0)))</f>
        <v>#VALUE!</v>
      </c>
    </row>
    <row r="66" spans="2:3" x14ac:dyDescent="0.2">
      <c r="B66" t="e">
        <f>IF($C$16 &lt;=4771.2,250,IF($C$16&gt;4771.2,IF($C$16&lt;=7156.8,225,0)))</f>
        <v>#VALUE!</v>
      </c>
      <c r="C66" t="e">
        <f>IF($C$16 &lt;=4771.2,250,IF($C$16&gt;4771.2,IF($C$16&lt;=7156.8,225,0)))</f>
        <v>#VALUE!</v>
      </c>
    </row>
    <row r="67" spans="2:3" x14ac:dyDescent="0.2">
      <c r="B67" t="e">
        <f>IF($C$16 &lt;=4532.64,250,IF($C$16&gt;4532.64,IF($C$16&lt;=7156.8,225,0)))</f>
        <v>#VALUE!</v>
      </c>
      <c r="C67" t="e">
        <f>IF($C$16 &lt;=4532.64,250,IF($C$16&gt;4532.64,IF($C$16&lt;=7156.8,225,0)))</f>
        <v>#VALUE!</v>
      </c>
    </row>
    <row r="68" spans="2:3" x14ac:dyDescent="0.2">
      <c r="B68" t="e">
        <f>IF($C$16 &lt;=1022.4,250,IF($C$16&gt;(40890/12),250-0.03*$C$16,0))</f>
        <v>#VALUE!</v>
      </c>
      <c r="C68" t="e">
        <f>IF($C$16 &lt;=1022.4,250,IF($C$16&gt;(40890/12),250-0.03*$C$16,0))</f>
        <v>#VALUE!</v>
      </c>
    </row>
  </sheetData>
  <mergeCells count="2">
    <mergeCell ref="B17:C17"/>
    <mergeCell ref="E22:F22"/>
  </mergeCells>
  <dataValidations count="3">
    <dataValidation type="list" allowBlank="1" showInputMessage="1" showErrorMessage="1" sqref="C1">
      <formula1>$C$54:$C$55</formula1>
    </dataValidation>
    <dataValidation type="list" allowBlank="1" showInputMessage="1" showErrorMessage="1" sqref="C2:C8">
      <formula1>$B$53:$B$61</formula1>
    </dataValidation>
    <dataValidation type="list" allowBlank="1" showInputMessage="1" showErrorMessage="1" sqref="C20">
      <formula1>$D$54:$D$55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ThisWorkbook.calculator">
                <anchor moveWithCells="1" sizeWithCells="1">
                  <from>
                    <xdr:col>4</xdr:col>
                    <xdr:colOff>952500</xdr:colOff>
                    <xdr:row>21</xdr:row>
                    <xdr:rowOff>63500</xdr:rowOff>
                  </from>
                  <to>
                    <xdr:col>6</xdr:col>
                    <xdr:colOff>673100</xdr:colOff>
                    <xdr:row>23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4" name="Button 9">
              <controlPr defaultSize="0" autoFill="0" autoPict="0" macro="[0]!ThisWorkbook.calculator2">
                <anchor moveWithCells="1" sizeWithCells="1">
                  <from>
                    <xdr:col>7</xdr:col>
                    <xdr:colOff>1003300</xdr:colOff>
                    <xdr:row>21</xdr:row>
                    <xdr:rowOff>38100</xdr:rowOff>
                  </from>
                  <to>
                    <xdr:col>9</xdr:col>
                    <xdr:colOff>800100</xdr:colOff>
                    <xdr:row>23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ThisWorkbook.CalcReset">
                <anchor moveWithCells="1" sizeWithCells="1">
                  <from>
                    <xdr:col>1</xdr:col>
                    <xdr:colOff>1638300</xdr:colOff>
                    <xdr:row>20</xdr:row>
                    <xdr:rowOff>88900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4:D20"/>
  <sheetViews>
    <sheetView workbookViewId="0">
      <selection activeCell="D27" sqref="D27"/>
    </sheetView>
  </sheetViews>
  <sheetFormatPr baseColWidth="10" defaultRowHeight="16" x14ac:dyDescent="0.2"/>
  <cols>
    <col min="1" max="1" width="24.1640625" bestFit="1" customWidth="1"/>
    <col min="2" max="4" width="11.1640625" bestFit="1" customWidth="1"/>
  </cols>
  <sheetData>
    <row r="4" spans="1:4" x14ac:dyDescent="0.2">
      <c r="B4" s="2">
        <v>8.0500000000000007</v>
      </c>
      <c r="C4" s="2">
        <v>10.1</v>
      </c>
      <c r="D4" s="2">
        <v>15</v>
      </c>
    </row>
    <row r="5" spans="1:4" x14ac:dyDescent="0.2">
      <c r="A5" t="s">
        <v>43</v>
      </c>
      <c r="B5" s="83">
        <v>15459.39</v>
      </c>
      <c r="C5" s="83">
        <v>19404.581999999999</v>
      </c>
      <c r="D5" s="83">
        <v>27838.199999999997</v>
      </c>
    </row>
    <row r="6" spans="1:4" x14ac:dyDescent="0.2">
      <c r="A6" t="s">
        <v>44</v>
      </c>
      <c r="B6" s="83">
        <v>16430</v>
      </c>
      <c r="C6" s="83">
        <v>17163.198799999998</v>
      </c>
      <c r="D6" s="83">
        <v>11626.846</v>
      </c>
    </row>
    <row r="11" spans="1:4" x14ac:dyDescent="0.2">
      <c r="B11" s="2">
        <v>8.0500000000000007</v>
      </c>
      <c r="C11" s="2">
        <v>10.1</v>
      </c>
      <c r="D11" s="2">
        <v>15</v>
      </c>
    </row>
    <row r="12" spans="1:4" x14ac:dyDescent="0.2">
      <c r="A12" t="s">
        <v>46</v>
      </c>
      <c r="B12" s="83">
        <v>53236.224799999996</v>
      </c>
      <c r="C12" s="83">
        <v>48553.352800000001</v>
      </c>
      <c r="D12" s="83">
        <v>58025.9</v>
      </c>
    </row>
    <row r="13" spans="1:4" x14ac:dyDescent="0.2">
      <c r="A13" t="s">
        <v>45</v>
      </c>
      <c r="B13" s="83">
        <v>45168.804799999998</v>
      </c>
      <c r="C13" s="83">
        <v>49404.512800000004</v>
      </c>
      <c r="D13" s="83">
        <v>58227.5</v>
      </c>
    </row>
    <row r="19" spans="1:4" x14ac:dyDescent="0.2">
      <c r="B19" s="2">
        <v>8.0500000000000007</v>
      </c>
      <c r="C19" s="2">
        <v>10.1</v>
      </c>
      <c r="D19" s="2">
        <v>15</v>
      </c>
    </row>
    <row r="20" spans="1:4" x14ac:dyDescent="0.2">
      <c r="A20" t="s">
        <v>47</v>
      </c>
      <c r="B20" s="83">
        <v>33641.142</v>
      </c>
      <c r="C20" s="83">
        <v>40008.061999999998</v>
      </c>
      <c r="D20" s="83">
        <v>54554.9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2016-05-12T00:26:36Z</dcterms:created>
  <dcterms:modified xsi:type="dcterms:W3CDTF">2016-08-02T15:14:42Z</dcterms:modified>
</cp:coreProperties>
</file>